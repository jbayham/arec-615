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FC3795DB-8C72-D24A-9076-C95C3BA28FF0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2" i="6" s="1"/>
  <c r="A14" i="6" s="1"/>
  <c r="A17" i="6" s="1"/>
  <c r="A19" i="6" s="1"/>
  <c r="A21" i="6" s="1"/>
  <c r="A23" i="6" s="1"/>
  <c r="A26" i="6" s="1"/>
  <c r="A28" i="6" s="1"/>
  <c r="A31" i="6" s="1"/>
  <c r="B4" i="6"/>
  <c r="B6" i="6" s="1"/>
  <c r="B7" i="6" s="1"/>
  <c r="A4" i="6"/>
  <c r="A6" i="6" s="1"/>
  <c r="A8" i="6" s="1"/>
  <c r="A10" i="6" s="1"/>
  <c r="A13" i="6" s="1"/>
  <c r="A15" i="6" s="1"/>
  <c r="A18" i="6" s="1"/>
  <c r="A20" i="6" s="1"/>
  <c r="A22" i="6" s="1"/>
  <c r="A24" i="6" s="1"/>
  <c r="A27" i="6" s="1"/>
  <c r="A29" i="6" s="1"/>
  <c r="B3" i="6"/>
  <c r="B5" i="6" l="1"/>
  <c r="B8" i="6"/>
  <c r="B10" i="6" l="1"/>
  <c r="B9" i="6"/>
  <c r="B12" i="6" l="1"/>
  <c r="B13" i="6"/>
  <c r="B15" i="6" l="1"/>
  <c r="B14" i="6"/>
  <c r="B18" i="6" l="1"/>
  <c r="B17" i="6"/>
  <c r="B19" i="6" l="1"/>
  <c r="B20" i="6"/>
  <c r="B22" i="6" l="1"/>
  <c r="B21" i="6"/>
  <c r="B23" i="6" l="1"/>
  <c r="B24" i="6"/>
  <c r="B27" i="6" l="1"/>
  <c r="B26" i="6"/>
  <c r="B29" i="6" l="1"/>
  <c r="B28" i="6"/>
  <c r="B31" i="6" l="1"/>
</calcChain>
</file>

<file path=xl/sharedStrings.xml><?xml version="1.0" encoding="utf-8"?>
<sst xmlns="http://schemas.openxmlformats.org/spreadsheetml/2006/main" count="46" uniqueCount="38">
  <si>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</si>
  <si>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</si>
  <si>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</si>
  <si>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</si>
  <si>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</si>
  <si>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</si>
  <si>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</si>
  <si>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</si>
  <si>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</si>
  <si>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</si>
  <si>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</si>
  <si>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</si>
  <si>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</si>
  <si>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</si>
  <si>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Infinite-horizon Bellman equation and value function iteration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</si>
  <si>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</si>
  <si>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</si>
  <si>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</si>
  <si>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</si>
  <si>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</si>
  <si>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</si>
  <si>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</si>
  <si>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</si>
  <si>
    <t>Application</t>
  </si>
  <si>
    <t>Intro dynamic programming</t>
  </si>
  <si>
    <t>Discrete time finite horizon: formulation</t>
  </si>
  <si>
    <t>Schlachtberger et al (2017)</t>
  </si>
  <si>
    <t>Wagar 107: Review</t>
  </si>
  <si>
    <t>Wagar 107: Discrete time finite horizon: solution concepts</t>
  </si>
  <si>
    <t>Exam 1</t>
  </si>
  <si>
    <t>Exam 2</t>
  </si>
  <si>
    <t>Final Exam</t>
  </si>
  <si>
    <t>Nonlinear optimization (unconstrained)</t>
  </si>
  <si>
    <t>Constrained NLP (KKT conditions)</t>
  </si>
  <si>
    <t>Wagar 107: Constrained NLP Numerical Methods</t>
  </si>
  <si>
    <t>Numerical Methods</t>
  </si>
  <si>
    <t>Risk and uncertainty</t>
  </si>
  <si>
    <t>Kaiser and Messer Chapter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</si>
</sst>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6"/>
  <sheetViews>
    <sheetView tabSelected="1" zoomScale="120" zoomScaleNormal="120" workbookViewId="0">
      <selection activeCell="D14" sqref="D14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18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19</v>
      </c>
      <c r="E3" s="3"/>
    </row>
    <row r="4" spans="1:5" ht="13" x14ac:dyDescent="0.15">
      <c r="A4" s="2">
        <f t="shared" ref="A4:A29" si="1">A2+1</f>
        <v>2</v>
      </c>
      <c r="B4" s="4">
        <f>B2+7</f>
        <v>46266</v>
      </c>
      <c r="C4" s="7" t="s">
        <v>17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21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20</v>
      </c>
      <c r="D6" s="3" t="s">
        <v>22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16</v>
      </c>
      <c r="D7" s="3" t="s">
        <v>15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4" x14ac:dyDescent="0.15">
      <c r="A9" s="2">
        <f t="shared" si="1"/>
        <v>4</v>
      </c>
      <c r="B9" s="4">
        <f t="shared" ref="B9" si="4">B8+2</f>
        <v>46282</v>
      </c>
      <c r="C9" s="7" t="s">
        <v>16</v>
      </c>
      <c r="D9" s="3" t="s">
        <v>26</v>
      </c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v>5</v>
      </c>
      <c r="B11" s="4">
        <v>46288</v>
      </c>
      <c r="C11" s="3" t="s">
        <v>27</v>
      </c>
      <c r="D11" s="6"/>
      <c r="E11" s="3"/>
    </row>
    <row r="12" spans="1:5" ht="13" x14ac:dyDescent="0.15">
      <c r="A12" s="2">
        <f>A9+1</f>
        <v>5</v>
      </c>
      <c r="B12" s="4">
        <f t="shared" ref="B12" si="5">B10+2</f>
        <v>46289</v>
      </c>
      <c r="C12" s="7" t="s">
        <v>29</v>
      </c>
    </row>
    <row r="13" spans="1:5" ht="14" x14ac:dyDescent="0.15">
      <c r="A13" s="2">
        <f>A10+1</f>
        <v>6</v>
      </c>
      <c r="B13" s="4">
        <f>B10+7</f>
        <v>46294</v>
      </c>
      <c r="C13" s="7" t="s">
        <v>32</v>
      </c>
      <c r="D13" s="3" t="s">
        <v>37</v>
      </c>
    </row>
    <row r="14" spans="1:5" ht="13" x14ac:dyDescent="0.15">
      <c r="A14" s="2">
        <f t="shared" si="1"/>
        <v>6</v>
      </c>
      <c r="B14" s="4">
        <f t="shared" ref="B14" si="6">B13+2</f>
        <v>46296</v>
      </c>
      <c r="C14" s="7" t="s">
        <v>35</v>
      </c>
      <c r="D14" s="8"/>
      <c r="E14" s="8"/>
    </row>
    <row r="15" spans="1:5" ht="13" x14ac:dyDescent="0.15">
      <c r="A15" s="2">
        <f t="shared" si="1"/>
        <v>7</v>
      </c>
      <c r="B15" s="4">
        <f>B13+7</f>
        <v>46301</v>
      </c>
      <c r="C15" s="7" t="s">
        <v>33</v>
      </c>
      <c r="D15" s="7"/>
      <c r="E15" s="3"/>
    </row>
    <row r="16" spans="1:5" ht="13" x14ac:dyDescent="0.15">
      <c r="A16" s="2">
        <v>7</v>
      </c>
      <c r="B16" s="4">
        <v>46302</v>
      </c>
      <c r="C16" s="1" t="s">
        <v>34</v>
      </c>
      <c r="D16" s="7"/>
      <c r="E16" s="3"/>
    </row>
    <row r="17" spans="1:5" ht="13" x14ac:dyDescent="0.15">
      <c r="A17" s="2">
        <f>A14+1</f>
        <v>7</v>
      </c>
      <c r="B17" s="4">
        <f t="shared" ref="B17" si="7">B15+2</f>
        <v>46303</v>
      </c>
      <c r="C17" s="7" t="s">
        <v>23</v>
      </c>
      <c r="E17" s="7"/>
      <c r="D17" t="inlineStr">
        <is>
          <t>Helfand &amp; House (1995)</t>
        </is>
      </c>
    </row>
    <row r="18" spans="1:5" ht="13" x14ac:dyDescent="0.15">
      <c r="A18" s="2">
        <f>A15+1</f>
        <v>8</v>
      </c>
      <c r="B18" s="4">
        <f>B15+7</f>
        <v>46308</v>
      </c>
      <c r="C18" s="7" t="s">
        <v>13</v>
      </c>
      <c r="D18" s="3"/>
    </row>
    <row r="19" spans="1:5" ht="13" x14ac:dyDescent="0.15">
      <c r="A19" s="2">
        <f t="shared" si="1"/>
        <v>8</v>
      </c>
      <c r="B19" s="4">
        <f t="shared" ref="B19" si="8">B18+2</f>
        <v>46310</v>
      </c>
      <c r="C19" s="7" t="s">
        <v>36</v>
      </c>
      <c r="E19" s="3"/>
    </row>
    <row r="20" spans="1:5" ht="13" x14ac:dyDescent="0.15">
      <c r="A20" s="2">
        <f t="shared" si="1"/>
        <v>9</v>
      </c>
      <c r="B20" s="4">
        <f>B18+7</f>
        <v>46315</v>
      </c>
      <c r="C20" s="7" t="s">
        <v>13</v>
      </c>
      <c r="D20" s="3"/>
    </row>
    <row r="21" spans="1:5" ht="14" x14ac:dyDescent="0.15">
      <c r="A21" s="2">
        <f t="shared" si="1"/>
        <v>9</v>
      </c>
      <c r="B21" s="4">
        <f t="shared" ref="B21" si="9">B20+2</f>
        <v>46317</v>
      </c>
      <c r="C21" s="3" t="s">
        <v>0</v>
      </c>
    </row>
    <row r="22" spans="1:5" ht="14" x14ac:dyDescent="0.15">
      <c r="A22" s="2">
        <f t="shared" si="1"/>
        <v>10</v>
      </c>
      <c r="B22" s="4">
        <f>B20+7</f>
        <v>46322</v>
      </c>
      <c r="C22" s="3" t="s">
        <v>30</v>
      </c>
      <c r="E22" s="3"/>
    </row>
    <row r="23" spans="1:5" ht="13" x14ac:dyDescent="0.15">
      <c r="A23" s="2">
        <f t="shared" si="1"/>
        <v>10</v>
      </c>
      <c r="B23" s="4">
        <f t="shared" ref="B23" si="10">B22+2</f>
        <v>46324</v>
      </c>
      <c r="C23" s="7" t="s">
        <v>24</v>
      </c>
      <c r="D23" s="3"/>
      <c r="E23" s="7"/>
    </row>
    <row r="24" spans="1:5" ht="13" x14ac:dyDescent="0.15">
      <c r="A24" s="2">
        <f t="shared" si="1"/>
        <v>11</v>
      </c>
      <c r="B24" s="4">
        <f>B22+7</f>
        <v>46329</v>
      </c>
      <c r="C24" s="7" t="s">
        <v>25</v>
      </c>
      <c r="D24" s="3"/>
      <c r="E24" s="7"/>
    </row>
    <row r="25" spans="1:5" ht="13" x14ac:dyDescent="0.15">
      <c r="A25" s="2">
        <v>11</v>
      </c>
      <c r="B25" s="4">
        <v>46330</v>
      </c>
      <c r="C25" s="7" t="s">
        <v>28</v>
      </c>
      <c r="D25" s="3"/>
      <c r="E25" s="7"/>
    </row>
    <row r="26" spans="1:5" ht="13" x14ac:dyDescent="0.15">
      <c r="A26" s="2">
        <f>A23+1</f>
        <v>11</v>
      </c>
      <c r="B26" s="4">
        <f t="shared" ref="B26" si="11">B24+2</f>
        <v>46331</v>
      </c>
      <c r="C26" s="7" t="s">
        <v>23</v>
      </c>
      <c r="D26" s="3"/>
    </row>
    <row r="27" spans="1:5" ht="13" x14ac:dyDescent="0.15">
      <c r="A27" s="2">
        <f>A24+1</f>
        <v>12</v>
      </c>
      <c r="B27" s="4">
        <f>B24+7</f>
        <v>46336</v>
      </c>
      <c r="C27" s="7" t="s">
        <v>13</v>
      </c>
    </row>
    <row r="28" spans="1:5" ht="13" x14ac:dyDescent="0.15">
      <c r="A28" s="2">
        <f t="shared" si="1"/>
        <v>12</v>
      </c>
      <c r="B28" s="4">
        <f t="shared" ref="B28" si="12">B27+2</f>
        <v>46338</v>
      </c>
      <c r="C28" s="7" t="s">
        <v>14</v>
      </c>
      <c r="D28" s="3"/>
    </row>
    <row r="29" spans="1:5" ht="13" x14ac:dyDescent="0.15">
      <c r="A29" s="2">
        <f t="shared" si="1"/>
        <v>13</v>
      </c>
      <c r="B29" s="4">
        <f>B27+7</f>
        <v>46343</v>
      </c>
      <c r="C29" s="7" t="s">
        <v>13</v>
      </c>
      <c r="D29" s="3"/>
      <c r="E29" s="7"/>
    </row>
    <row r="30" spans="1:5" ht="14" x14ac:dyDescent="0.15">
      <c r="A30" s="2">
        <v>13</v>
      </c>
      <c r="B30" s="4">
        <v>46344</v>
      </c>
      <c r="C30" s="3" t="s">
        <v>27</v>
      </c>
      <c r="D30" s="3"/>
      <c r="E30" s="7"/>
    </row>
    <row r="31" spans="1:5" ht="14" x14ac:dyDescent="0.15">
      <c r="A31" s="2">
        <f>A28+1</f>
        <v>13</v>
      </c>
      <c r="B31" s="4">
        <f t="shared" ref="B31" si="13">B29+2</f>
        <v>46345</v>
      </c>
      <c r="C31" s="3" t="s">
        <v>31</v>
      </c>
      <c r="D31" s="3"/>
      <c r="E31" s="3"/>
    </row>
    <row r="32" spans="1:5" ht="13" x14ac:dyDescent="0.15">
      <c r="A32" s="2"/>
      <c r="B32" s="4"/>
      <c r="C32" s="3"/>
    </row>
    <row r="33" spans="1:5" ht="13" x14ac:dyDescent="0.15">
      <c r="A33" s="2"/>
      <c r="B33" s="4"/>
      <c r="C33" s="3"/>
    </row>
    <row r="34" spans="1:5" ht="13" x14ac:dyDescent="0.15">
      <c r="A34" s="2"/>
      <c r="B34" s="4"/>
      <c r="C34" s="3"/>
      <c r="D34" s="3"/>
    </row>
    <row r="35" spans="1:5" ht="13" x14ac:dyDescent="0.15">
      <c r="A35" s="2"/>
      <c r="B35" s="4"/>
      <c r="C35" s="3"/>
      <c r="D35" s="1"/>
      <c r="E35" s="3"/>
    </row>
    <row r="36" spans="1:5" ht="13" x14ac:dyDescent="0.15">
      <c r="A36" s="2"/>
      <c r="B36" s="4"/>
      <c r="C36" s="1"/>
    </row>
    <row r="37" spans="1:5" ht="13" x14ac:dyDescent="0.15">
      <c r="A37" s="2"/>
      <c r="B37" s="4"/>
      <c r="C37" s="1"/>
    </row>
    <row r="38" spans="1:5" ht="13" x14ac:dyDescent="0.15">
      <c r="B38" s="4"/>
      <c r="C38" s="1"/>
    </row>
    <row r="39" spans="1:5" ht="13" x14ac:dyDescent="0.15">
      <c r="B39" s="4"/>
      <c r="C39" s="7"/>
    </row>
    <row r="40" spans="1:5" ht="13" x14ac:dyDescent="0.15">
      <c r="B40" s="4"/>
      <c r="C40" s="3"/>
      <c r="D40" s="5"/>
    </row>
    <row r="41" spans="1:5" ht="13" x14ac:dyDescent="0.15">
      <c r="B41" s="4"/>
      <c r="C41" s="1"/>
      <c r="D41" s="3"/>
    </row>
    <row r="42" spans="1:5" ht="13" x14ac:dyDescent="0.15">
      <c r="C42" s="1"/>
    </row>
    <row r="43" spans="1:5" ht="13" x14ac:dyDescent="0.15">
      <c r="C43" s="1"/>
      <c r="D43" s="7"/>
    </row>
    <row r="44" spans="1:5" ht="13" x14ac:dyDescent="0.15">
      <c r="C44" s="7"/>
      <c r="D44" s="3"/>
      <c r="E44" s="3"/>
    </row>
    <row r="45" spans="1:5" ht="13" x14ac:dyDescent="0.15">
      <c r="C45" s="1"/>
      <c r="D45" s="7"/>
    </row>
    <row r="46" spans="1:5" ht="13" x14ac:dyDescent="0.15">
      <c r="C46" s="1"/>
    </row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  <row r="983" ht="13" x14ac:dyDescent="0.15"/>
    <row r="984" ht="13" x14ac:dyDescent="0.15"/>
    <row r="985" ht="13" x14ac:dyDescent="0.15"/>
    <row r="986" ht="13" x14ac:dyDescent="0.15"/>
  </sheetData>
  <conditionalFormatting sqref="B2:B41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2026-09-29T02:09:26Z</dcterms:modified>
  <cp:category/>
  <cp:contentStatus/>
</cp:coreProperties>
</file>