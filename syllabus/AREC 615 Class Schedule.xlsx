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0E3603DD-4C2E-1E4B-B0EA-09DD42391A62}" xr6:coauthVersionLast="47" xr6:coauthVersionMax="47" xr10:uidLastSave="{00000000-0000-0000-0000-000000000000}"/>
  <bookViews>
    <workbookView xWindow="-36840" yWindow="1120" windowWidth="34560" windowHeight="2032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1" i="6" s="1"/>
  <c r="A13" i="6" s="1"/>
  <c r="A15" i="6" s="1"/>
  <c r="A17" i="6" s="1"/>
  <c r="A19" i="6" s="1"/>
  <c r="A21" i="6" s="1"/>
  <c r="A23" i="6" s="1"/>
  <c r="A25" i="6" s="1"/>
  <c r="A27" i="6" s="1"/>
  <c r="B4" i="6"/>
  <c r="B6" i="6" s="1"/>
  <c r="B7" i="6" s="1"/>
  <c r="A4" i="6"/>
  <c r="A6" i="6" s="1"/>
  <c r="A8" i="6" s="1"/>
  <c r="A10" i="6" s="1"/>
  <c r="A12" i="6" s="1"/>
  <c r="A14" i="6" s="1"/>
  <c r="A16" i="6" s="1"/>
  <c r="A18" i="6" s="1"/>
  <c r="A20" i="6" s="1"/>
  <c r="A22" i="6" s="1"/>
  <c r="A24" i="6" s="1"/>
  <c r="A26" i="6" s="1"/>
  <c r="B3" i="6"/>
  <c r="B5" i="6" l="1"/>
  <c r="B8" i="6"/>
  <c r="B10" i="6" l="1"/>
  <c r="B9" i="6"/>
  <c r="B11" i="6" l="1"/>
  <c r="B12" i="6"/>
  <c r="B14" i="6" l="1"/>
  <c r="B13" i="6"/>
  <c r="B16" i="6" l="1"/>
  <c r="B15" i="6"/>
  <c r="B17" i="6" l="1"/>
  <c r="B18" i="6"/>
  <c r="B20" i="6" l="1"/>
  <c r="B19" i="6"/>
  <c r="B21" i="6" l="1"/>
  <c r="B22" i="6"/>
  <c r="B24" i="6" l="1"/>
  <c r="B23" i="6"/>
  <c r="B26" i="6" l="1"/>
  <c r="B25" i="6"/>
  <c r="B27" i="6" l="1"/>
</calcChain>
</file>

<file path=xl/sharedStrings.xml><?xml version="1.0" encoding="utf-8"?>
<sst xmlns="http://schemas.openxmlformats.org/spreadsheetml/2006/main" count="35" uniqueCount="27">
  <si>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</si>
  <si>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</si>
  <si>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</si>
  <si>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</si>
  <si>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</si>
  <si>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</si>
  <si>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</si>
  <si>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</si>
  <si>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</si>
  <si>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</si>
  <si>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</si>
  <si>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Math/R refresh</t>
  </si>
  <si>
    <t>Linear Programming: formulation and graphical interpretation</t>
  </si>
  <si>
    <t>LP formulation from data</t>
  </si>
  <si>
    <t>Applied LP: solving and interpreting a model</t>
  </si>
  <si>
    <t>LP sensitivity and shadow values</t>
  </si>
  <si>
    <t>LP duality as economic interpretation</t>
  </si>
  <si>
    <t>Presentation/discussion</t>
  </si>
  <si>
    <t>Midterm 1</t>
  </si>
  <si>
    <t>Karush Kuhn Tucker and corner solutions</t>
  </si>
  <si>
    <t>Midterm 2</t>
  </si>
  <si>
    <t>Unconstrained and constrained nonlinear optimization + Numerical foundations: roots, diagnostics, and convergence</t>
  </si>
  <si>
    <t>Risk, uncertainty, and scenario analysis in static models</t>
  </si>
  <si>
    <t>Finite-horizon dynamic programming and backward induction</t>
  </si>
  <si>
    <t>Infinite-horizon Bellman equation and value function iteration</t>
  </si>
  <si>
    <t>Final</t>
  </si>
  <si>
    <t>Flex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</si>
</sst>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  <xf numFmtId="164" fontId="0" fillId="0" borderId="0" xfId="0" applyNumberFormat="1" applyFill="1" applyAlignment="1">
      <alignment horizontal="right"/>
    </xf>
    <xf numFmtId="0" fontId="1" fillId="0" borderId="0" xfId="0" applyFont="1" applyFill="1" applyAlignment="1">
      <alignment horizontal="right"/>
    </xf>
    <xf numFmtId="0" fontId="1" fillId="0" borderId="0" xfId="0" applyFont="1" applyFill="1" applyAlignment="1">
      <alignment wrapText="1"/>
    </xf>
    <xf numFmtId="0" fontId="1" fillId="0" borderId="0" xfId="0" applyFont="1" applyFill="1"/>
    <xf numFmtId="0" fontId="0" fillId="0" borderId="0" xfId="0" applyFill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2"/>
  <sheetViews>
    <sheetView tabSelected="1" zoomScale="120" zoomScaleNormal="120" workbookViewId="0">
      <selection activeCell="C8" sqref="C8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/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/>
      <c r="E3" s="3"/>
    </row>
    <row r="4" spans="1:5" ht="14" x14ac:dyDescent="0.15">
      <c r="A4" s="2">
        <f t="shared" ref="A4:A33" si="1">A2+1</f>
        <v>2</v>
      </c>
      <c r="B4" s="4">
        <f>B2+7</f>
        <v>46266</v>
      </c>
      <c r="C4" s="3" t="s">
        <v>12</v>
      </c>
      <c r="D4" s="3"/>
      <c r="E4" s="3"/>
    </row>
    <row r="5" spans="1:5" ht="13" x14ac:dyDescent="0.15">
      <c r="A5" s="2">
        <f t="shared" si="1"/>
        <v>2</v>
      </c>
      <c r="B5" s="4">
        <f t="shared" ref="B5" si="2">B4+2</f>
        <v>46268</v>
      </c>
      <c r="C5" s="7" t="s">
        <v>13</v>
      </c>
      <c r="D5" s="3"/>
    </row>
    <row r="6" spans="1:5" ht="13" x14ac:dyDescent="0.15">
      <c r="A6" s="2">
        <f t="shared" si="1"/>
        <v>3</v>
      </c>
      <c r="B6" s="4">
        <f>B4+7</f>
        <v>46273</v>
      </c>
      <c r="C6" s="7" t="s">
        <v>14</v>
      </c>
      <c r="D6" s="3"/>
      <c r="E6" s="3"/>
    </row>
    <row r="7" spans="1:5" ht="13" x14ac:dyDescent="0.15">
      <c r="A7" s="2">
        <f t="shared" si="1"/>
        <v>3</v>
      </c>
      <c r="B7" s="4">
        <f t="shared" ref="B7" si="3">B6+2</f>
        <v>46275</v>
      </c>
      <c r="C7" s="7" t="s">
        <v>15</v>
      </c>
      <c r="D7" s="3"/>
    </row>
    <row r="8" spans="1:5" ht="13" x14ac:dyDescent="0.15">
      <c r="A8" s="2">
        <f t="shared" si="1"/>
        <v>4</v>
      </c>
      <c r="B8" s="4">
        <f>B6+7</f>
        <v>46280</v>
      </c>
      <c r="C8" s="7" t="s">
        <v>17</v>
      </c>
      <c r="D8" s="3"/>
      <c r="E8" s="7"/>
    </row>
    <row r="9" spans="1:5" ht="13" x14ac:dyDescent="0.15">
      <c r="A9" s="2">
        <f t="shared" si="1"/>
        <v>4</v>
      </c>
      <c r="B9" s="4">
        <f t="shared" ref="B9" si="4">B8+2</f>
        <v>46282</v>
      </c>
      <c r="C9" s="7" t="s">
        <v>16</v>
      </c>
      <c r="D9" s="3"/>
      <c r="E9" s="3"/>
    </row>
    <row r="10" spans="1:5" ht="13" x14ac:dyDescent="0.15">
      <c r="A10" s="2">
        <f t="shared" si="1"/>
        <v>5</v>
      </c>
      <c r="B10" s="9">
        <f>B8+7</f>
        <v>46287</v>
      </c>
      <c r="C10" s="7" t="s">
        <v>17</v>
      </c>
      <c r="D10" s="6"/>
      <c r="E10" s="3"/>
    </row>
    <row r="11" spans="1:5" ht="14" x14ac:dyDescent="0.15">
      <c r="A11" s="2">
        <f t="shared" si="1"/>
        <v>5</v>
      </c>
      <c r="B11" s="4">
        <f t="shared" ref="B11" si="5">B10+2</f>
        <v>46289</v>
      </c>
      <c r="C11" s="3" t="s">
        <v>0</v>
      </c>
    </row>
    <row r="12" spans="1:5" ht="13" x14ac:dyDescent="0.15">
      <c r="A12" s="2">
        <f t="shared" si="1"/>
        <v>6</v>
      </c>
      <c r="B12" s="4">
        <f>B10+7</f>
        <v>46294</v>
      </c>
      <c r="C12" s="7" t="s">
        <v>18</v>
      </c>
      <c r="D12" s="3"/>
    </row>
    <row r="13" spans="1:5" ht="13" x14ac:dyDescent="0.15">
      <c r="A13" s="2">
        <f t="shared" si="1"/>
        <v>6</v>
      </c>
      <c r="B13" s="4">
        <f t="shared" ref="B13" si="6">B12+2</f>
        <v>46296</v>
      </c>
      <c r="C13" s="7" t="s">
        <v>21</v>
      </c>
      <c r="D13" s="5"/>
      <c r="E13" s="8"/>
    </row>
    <row r="14" spans="1:5" ht="13" x14ac:dyDescent="0.15">
      <c r="A14" s="2">
        <f t="shared" si="1"/>
        <v>7</v>
      </c>
      <c r="B14" s="4">
        <f>B12+7</f>
        <v>46301</v>
      </c>
      <c r="C14" s="7" t="s">
        <v>17</v>
      </c>
      <c r="D14" s="7"/>
      <c r="E14" s="3"/>
    </row>
    <row r="15" spans="1:5" ht="13" x14ac:dyDescent="0.15">
      <c r="A15" s="2">
        <f t="shared" si="1"/>
        <v>7</v>
      </c>
      <c r="B15" s="4">
        <f t="shared" ref="B15" si="7">B14+2</f>
        <v>46303</v>
      </c>
      <c r="C15" s="1" t="s">
        <v>19</v>
      </c>
      <c r="E15" s="7"/>
    </row>
    <row r="16" spans="1:5" ht="13" x14ac:dyDescent="0.15">
      <c r="A16" s="2">
        <f t="shared" si="1"/>
        <v>8</v>
      </c>
      <c r="B16" s="4">
        <f>B14+7</f>
        <v>46308</v>
      </c>
      <c r="C16" s="7" t="s">
        <v>17</v>
      </c>
      <c r="D16" s="3"/>
    </row>
    <row r="17" spans="1:5" ht="13" x14ac:dyDescent="0.15">
      <c r="A17" s="2">
        <f t="shared" si="1"/>
        <v>8</v>
      </c>
      <c r="B17" s="4">
        <f t="shared" ref="B17" si="8">B16+2</f>
        <v>46310</v>
      </c>
      <c r="C17" s="7" t="s">
        <v>22</v>
      </c>
      <c r="E17" s="3"/>
    </row>
    <row r="18" spans="1:5" ht="13" x14ac:dyDescent="0.15">
      <c r="A18" s="2">
        <f t="shared" si="1"/>
        <v>9</v>
      </c>
      <c r="B18" s="4">
        <f>B16+7</f>
        <v>46315</v>
      </c>
      <c r="C18" s="7" t="s">
        <v>17</v>
      </c>
      <c r="D18" s="3"/>
    </row>
    <row r="19" spans="1:5" ht="14" x14ac:dyDescent="0.15">
      <c r="A19" s="2">
        <f t="shared" si="1"/>
        <v>9</v>
      </c>
      <c r="B19" s="4">
        <f t="shared" ref="B19" si="9">B18+2</f>
        <v>46317</v>
      </c>
      <c r="C19" s="3" t="s">
        <v>0</v>
      </c>
    </row>
    <row r="20" spans="1:5" ht="14" x14ac:dyDescent="0.15">
      <c r="A20" s="2">
        <f t="shared" si="1"/>
        <v>10</v>
      </c>
      <c r="B20" s="4">
        <f>B18+7</f>
        <v>46322</v>
      </c>
      <c r="C20" s="3" t="s">
        <v>20</v>
      </c>
      <c r="E20" s="3"/>
    </row>
    <row r="21" spans="1:5" ht="13" x14ac:dyDescent="0.15">
      <c r="A21" s="2">
        <f t="shared" si="1"/>
        <v>10</v>
      </c>
      <c r="B21" s="4">
        <f t="shared" ref="B21" si="10">B20+2</f>
        <v>46324</v>
      </c>
      <c r="C21" s="7" t="s">
        <v>23</v>
      </c>
      <c r="D21" s="3"/>
      <c r="E21" s="7"/>
    </row>
    <row r="22" spans="1:5" ht="13" x14ac:dyDescent="0.15">
      <c r="A22" s="2">
        <f t="shared" si="1"/>
        <v>11</v>
      </c>
      <c r="B22" s="4">
        <f>B20+7</f>
        <v>46329</v>
      </c>
      <c r="C22" s="7" t="s">
        <v>17</v>
      </c>
      <c r="D22" s="3"/>
      <c r="E22" s="7"/>
    </row>
    <row r="23" spans="1:5" ht="13" x14ac:dyDescent="0.15">
      <c r="A23" s="2">
        <f t="shared" si="1"/>
        <v>11</v>
      </c>
      <c r="B23" s="4">
        <f t="shared" ref="B23" si="11">B22+2</f>
        <v>46331</v>
      </c>
      <c r="C23" s="7" t="s">
        <v>24</v>
      </c>
      <c r="D23" s="3"/>
    </row>
    <row r="24" spans="1:5" ht="13" x14ac:dyDescent="0.15">
      <c r="A24" s="2">
        <f t="shared" si="1"/>
        <v>12</v>
      </c>
      <c r="B24" s="4">
        <f>B22+7</f>
        <v>46336</v>
      </c>
      <c r="C24" s="7" t="s">
        <v>17</v>
      </c>
    </row>
    <row r="25" spans="1:5" ht="14" x14ac:dyDescent="0.15">
      <c r="A25" s="2">
        <f t="shared" si="1"/>
        <v>12</v>
      </c>
      <c r="B25" s="4">
        <f t="shared" ref="B25" si="12">B24+2</f>
        <v>46338</v>
      </c>
      <c r="C25" s="3" t="s">
        <v>26</v>
      </c>
      <c r="D25" s="3"/>
    </row>
    <row r="26" spans="1:5" ht="14" x14ac:dyDescent="0.15">
      <c r="A26" s="2">
        <f t="shared" si="1"/>
        <v>13</v>
      </c>
      <c r="B26" s="4">
        <f>B24+7</f>
        <v>46343</v>
      </c>
      <c r="C26" s="3" t="s">
        <v>0</v>
      </c>
      <c r="D26" s="3"/>
      <c r="E26" s="7"/>
    </row>
    <row r="27" spans="1:5" ht="14" x14ac:dyDescent="0.15">
      <c r="A27" s="2">
        <f t="shared" si="1"/>
        <v>13</v>
      </c>
      <c r="B27" s="4">
        <f t="shared" ref="B27" si="13">B26+2</f>
        <v>46345</v>
      </c>
      <c r="C27" s="3" t="s">
        <v>25</v>
      </c>
      <c r="D27" s="3"/>
      <c r="E27" s="3"/>
    </row>
    <row r="28" spans="1:5" ht="13" x14ac:dyDescent="0.15">
      <c r="A28" s="10"/>
      <c r="B28" s="9"/>
      <c r="C28" s="11"/>
    </row>
    <row r="29" spans="1:5" ht="13" x14ac:dyDescent="0.15">
      <c r="A29" s="10"/>
      <c r="B29" s="9"/>
      <c r="C29" s="11"/>
    </row>
    <row r="30" spans="1:5" ht="13" x14ac:dyDescent="0.15">
      <c r="A30" s="10"/>
      <c r="B30" s="9"/>
      <c r="C30" s="11"/>
      <c r="D30" s="3"/>
    </row>
    <row r="31" spans="1:5" ht="13" x14ac:dyDescent="0.15">
      <c r="A31" s="10"/>
      <c r="B31" s="9"/>
      <c r="C31" s="11"/>
      <c r="D31" s="1"/>
      <c r="E31" s="3"/>
    </row>
    <row r="32" spans="1:5" ht="13" x14ac:dyDescent="0.15">
      <c r="A32" s="10"/>
      <c r="B32" s="9"/>
      <c r="C32" s="12"/>
    </row>
    <row r="33" spans="1:5" ht="13" x14ac:dyDescent="0.15">
      <c r="A33" s="10"/>
      <c r="B33" s="9"/>
      <c r="C33" s="12"/>
    </row>
    <row r="34" spans="1:5" ht="13" x14ac:dyDescent="0.15">
      <c r="A34" s="13"/>
      <c r="B34" s="9"/>
      <c r="C34" s="12"/>
    </row>
    <row r="35" spans="1:5" ht="13" x14ac:dyDescent="0.15">
      <c r="B35" s="4"/>
      <c r="C35" s="7"/>
    </row>
    <row r="36" spans="1:5" ht="13" x14ac:dyDescent="0.15">
      <c r="B36" s="4"/>
      <c r="C36" s="3"/>
      <c r="D36" s="5"/>
    </row>
    <row r="37" spans="1:5" ht="13" x14ac:dyDescent="0.15">
      <c r="B37" s="4"/>
      <c r="C37" s="1"/>
      <c r="D37" s="3"/>
    </row>
    <row r="38" spans="1:5" ht="13" x14ac:dyDescent="0.15">
      <c r="C38" s="1"/>
    </row>
    <row r="39" spans="1:5" ht="13" x14ac:dyDescent="0.15">
      <c r="C39" s="1"/>
      <c r="D39" s="7"/>
    </row>
    <row r="40" spans="1:5" ht="13" x14ac:dyDescent="0.15">
      <c r="C40" s="7"/>
      <c r="D40" s="3"/>
      <c r="E40" s="3"/>
    </row>
    <row r="41" spans="1:5" ht="13" x14ac:dyDescent="0.15">
      <c r="C41" s="1"/>
      <c r="D41" s="7"/>
    </row>
    <row r="42" spans="1:5" ht="13" x14ac:dyDescent="0.15">
      <c r="C42" s="1"/>
    </row>
    <row r="43" spans="1:5" ht="13" x14ac:dyDescent="0.15"/>
    <row r="44" spans="1:5" ht="13" x14ac:dyDescent="0.15"/>
    <row r="45" spans="1:5" ht="13" x14ac:dyDescent="0.15"/>
    <row r="46" spans="1:5" ht="13" x14ac:dyDescent="0.15"/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</sheetData>
  <conditionalFormatting sqref="B2:B37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2026-08-21T20:09:31Z</dcterms:modified>
  <cp:category/>
  <cp:contentStatus/>
</cp:coreProperties>
</file>